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729" codeName="{00000000-0000-0000-0000-000000000000}"/>
  <workbookPr showInkAnnotation="0" codeName="ThisWorkbook" autoCompressPictures="0"/>
  <bookViews>
    <workbookView xWindow="6740" yWindow="0" windowWidth="25600" windowHeight="16060" tabRatio="500"/>
  </bookViews>
  <sheets>
    <sheet name="Feuil1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23" i="1" l="1"/>
  <c r="M24" i="1"/>
  <c r="M25" i="1"/>
  <c r="M22" i="1"/>
  <c r="K23" i="1"/>
  <c r="K24" i="1"/>
  <c r="K25" i="1"/>
  <c r="K22" i="1"/>
  <c r="C16" i="1"/>
  <c r="C17" i="1"/>
  <c r="I1" i="1"/>
  <c r="C15" i="1"/>
</calcChain>
</file>

<file path=xl/sharedStrings.xml><?xml version="1.0" encoding="utf-8"?>
<sst xmlns="http://schemas.openxmlformats.org/spreadsheetml/2006/main" count="79" uniqueCount="39">
  <si>
    <t>MAKE BEAM FOR BEAMFOUR</t>
  </si>
  <si>
    <t>NbRays</t>
  </si>
  <si>
    <t>Tel_Focal_Length</t>
  </si>
  <si>
    <t>m</t>
  </si>
  <si>
    <t>Tel_Diameter</t>
  </si>
  <si>
    <t>Filt_D</t>
  </si>
  <si>
    <t>number of rays per color</t>
  </si>
  <si>
    <t>focal distance of telescope</t>
  </si>
  <si>
    <t>telescope diameter</t>
  </si>
  <si>
    <t>distance between filter wheel and CCD</t>
  </si>
  <si>
    <t>mm</t>
  </si>
  <si>
    <t>Filt_size</t>
  </si>
  <si>
    <t>m_to_mm</t>
  </si>
  <si>
    <t>mm_to_m</t>
  </si>
  <si>
    <t>Size of the filter</t>
  </si>
  <si>
    <t>Ronchi_size</t>
  </si>
  <si>
    <t>Ronchi size</t>
  </si>
  <si>
    <t>Det_size</t>
  </si>
  <si>
    <t>CCD size</t>
  </si>
  <si>
    <t>DZ</t>
  </si>
  <si>
    <t>Whole length from beam start to beam stop</t>
  </si>
  <si>
    <t>TAN_ALPHA_MAX</t>
  </si>
  <si>
    <t>Sylvie Dagoret-Campagne</t>
  </si>
  <si>
    <t>Ray file for Beam4</t>
  </si>
  <si>
    <t>X0</t>
  </si>
  <si>
    <t>Y0</t>
  </si>
  <si>
    <t>Z0</t>
  </si>
  <si>
    <t>U0</t>
  </si>
  <si>
    <t>V0</t>
  </si>
  <si>
    <t>W0</t>
  </si>
  <si>
    <t>------</t>
  </si>
  <si>
    <t>XMAX</t>
  </si>
  <si>
    <t>--------</t>
  </si>
  <si>
    <t>Author</t>
  </si>
  <si>
    <t>Affiliation</t>
  </si>
  <si>
    <t>LAL</t>
  </si>
  <si>
    <t>Goal</t>
  </si>
  <si>
    <t xml:space="preserve">Build Ray Table </t>
  </si>
  <si>
    <t>shit/FP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</si>
</sst>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b/>
      <u/>
      <sz val="16"/>
      <color theme="1"/>
      <name val="Calibri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6"/>
      <color theme="1"/>
      <name val="Calibri"/>
      <scheme val="minor"/>
    </font>
    <font>
      <sz val="14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0" applyFont="1"/>
    <xf numFmtId="14" fontId="0" fillId="0" borderId="0" xfId="0" applyNumberFormat="1"/>
    <xf numFmtId="0" fontId="2" fillId="0" borderId="0" xfId="0" applyFont="1"/>
    <xf numFmtId="0" fontId="0" fillId="0" borderId="0" xfId="0" quotePrefix="1"/>
    <xf numFmtId="0" fontId="5" fillId="0" borderId="0" xfId="0" applyFont="1"/>
    <xf numFmtId="0" fontId="6" fillId="0" borderId="0" xfId="0" applyFont="1"/>
  </cellXfs>
  <cellStyles count="33">
    <cellStyle name="Lien hypertexte" xfId="1" builtinId="8" hidden="1"/>
    <cellStyle name="Lien hypertexte" xfId="3" builtinId="8" hidden="1"/>
    <cellStyle name="Lien hypertexte" xfId="5" builtinId="8" hidden="1"/>
    <cellStyle name="Lien hypertexte" xfId="7" builtinId="8" hidden="1"/>
    <cellStyle name="Lien hypertexte" xfId="9" builtinId="8" hidden="1"/>
    <cellStyle name="Lien hypertexte" xfId="11" builtinId="8" hidden="1"/>
    <cellStyle name="Lien hypertexte" xfId="13" builtinId="8" hidden="1"/>
    <cellStyle name="Lien hypertexte" xfId="15" builtinId="8" hidden="1"/>
    <cellStyle name="Lien hypertexte" xfId="17" builtinId="8" hidden="1"/>
    <cellStyle name="Lien hypertexte" xfId="19" builtinId="8" hidden="1"/>
    <cellStyle name="Lien hypertexte" xfId="21" builtinId="8" hidden="1"/>
    <cellStyle name="Lien hypertexte" xfId="23" builtinId="8" hidden="1"/>
    <cellStyle name="Lien hypertexte" xfId="25" builtinId="8" hidden="1"/>
    <cellStyle name="Lien hypertexte" xfId="27" builtinId="8" hidden="1"/>
    <cellStyle name="Lien hypertexte" xfId="29" builtinId="8" hidden="1"/>
    <cellStyle name="Lien hypertexte" xfId="31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Lien hypertexte visité" xfId="8" builtinId="9" hidden="1"/>
    <cellStyle name="Lien hypertexte visité" xfId="10" builtinId="9" hidden="1"/>
    <cellStyle name="Lien hypertexte visité" xfId="12" builtinId="9" hidden="1"/>
    <cellStyle name="Lien hypertexte visité" xfId="14" builtinId="9" hidden="1"/>
    <cellStyle name="Lien hypertexte visité" xfId="16" builtinId="9" hidden="1"/>
    <cellStyle name="Lien hypertexte visité" xfId="18" builtinId="9" hidden="1"/>
    <cellStyle name="Lien hypertexte visité" xfId="20" builtinId="9" hidden="1"/>
    <cellStyle name="Lien hypertexte visité" xfId="22" builtinId="9" hidden="1"/>
    <cellStyle name="Lien hypertexte visité" xfId="24" builtinId="9" hidden="1"/>
    <cellStyle name="Lien hypertexte visité" xfId="26" builtinId="9" hidden="1"/>
    <cellStyle name="Lien hypertexte visité" xfId="28" builtinId="9" hidden="1"/>
    <cellStyle name="Lien hypertexte visité" xfId="30" builtinId="9" hidden="1"/>
    <cellStyle name="Lien hypertexte visité" xfId="32" builtinId="9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enableFormatConditionsCalculation="0"/>
  <dimension ref="A1:M62"/>
  <sheetViews>
    <sheetView tabSelected="1" topLeftCell="A17" workbookViewId="0">
      <selection activeCell="A32" sqref="A32"/>
    </sheetView>
  </sheetViews>
  <sheetFormatPr baseColWidth="10" defaultRowHeight="15" x14ac:dyDescent="0"/>
  <cols>
    <col min="1" max="1" width="21.5" customWidth="1"/>
    <col min="2" max="2" width="20.33203125" customWidth="1"/>
    <col min="3" max="3" width="8.83203125" customWidth="1"/>
    <col min="4" max="4" width="17.5" customWidth="1"/>
    <col min="5" max="5" width="22.33203125" customWidth="1"/>
    <col min="6" max="6" width="18.83203125" customWidth="1"/>
    <col min="9" max="9" width="12.1640625" bestFit="1" customWidth="1"/>
  </cols>
  <sheetData>
    <row r="1" spans="1:11" ht="20">
      <c r="A1" s="1" t="s">
        <v>0</v>
      </c>
      <c r="F1" t="s">
        <v>22</v>
      </c>
      <c r="I1" s="2">
        <f ca="1">TODAY()</f>
        <v>42775</v>
      </c>
    </row>
    <row r="2" spans="1:11" ht="15" customHeight="1">
      <c r="A2" s="1"/>
    </row>
    <row r="3" spans="1:11" ht="17" customHeight="1">
      <c r="A3" s="5" t="s">
        <v>33</v>
      </c>
      <c r="B3" t="s">
        <v>22</v>
      </c>
    </row>
    <row r="4" spans="1:11" ht="18">
      <c r="A4" s="6" t="s">
        <v>34</v>
      </c>
      <c r="B4" t="s">
        <v>35</v>
      </c>
    </row>
    <row r="5" spans="1:11">
      <c r="A5" t="s">
        <v>36</v>
      </c>
      <c r="B5" t="s">
        <v>37</v>
      </c>
    </row>
    <row r="7" spans="1:11">
      <c r="A7" s="3" t="s">
        <v>1</v>
      </c>
      <c r="B7" s="3"/>
      <c r="C7" s="3">
        <v>11</v>
      </c>
      <c r="D7" s="3"/>
      <c r="E7" s="3" t="s">
        <v>6</v>
      </c>
      <c r="F7" s="3"/>
      <c r="G7" s="3"/>
      <c r="H7" s="3"/>
      <c r="I7" s="3"/>
      <c r="J7" s="3" t="s">
        <v>12</v>
      </c>
      <c r="K7" s="3">
        <v>1000</v>
      </c>
    </row>
    <row r="8" spans="1:11">
      <c r="A8" s="3" t="s">
        <v>2</v>
      </c>
      <c r="B8" s="3"/>
      <c r="C8" s="3">
        <v>12.6</v>
      </c>
      <c r="D8" s="3" t="s">
        <v>3</v>
      </c>
      <c r="E8" s="3" t="s">
        <v>7</v>
      </c>
      <c r="F8" s="3"/>
      <c r="G8" s="3"/>
      <c r="H8" s="3"/>
      <c r="I8" s="3"/>
      <c r="J8" s="3" t="s">
        <v>13</v>
      </c>
      <c r="K8" s="3">
        <v>1E-3</v>
      </c>
    </row>
    <row r="9" spans="1:11">
      <c r="A9" s="3" t="s">
        <v>4</v>
      </c>
      <c r="B9" s="3"/>
      <c r="C9" s="3">
        <v>0.9</v>
      </c>
      <c r="D9" s="3" t="s">
        <v>3</v>
      </c>
      <c r="E9" s="3" t="s">
        <v>8</v>
      </c>
      <c r="F9" s="3"/>
      <c r="G9" s="3"/>
      <c r="H9" s="3"/>
      <c r="I9" s="3"/>
      <c r="J9" s="3"/>
      <c r="K9" s="3"/>
    </row>
    <row r="10" spans="1:11">
      <c r="A10" s="3" t="s">
        <v>5</v>
      </c>
      <c r="B10" s="3"/>
      <c r="C10" s="3">
        <v>5.7689999999999998E-2</v>
      </c>
      <c r="D10" s="3" t="s">
        <v>3</v>
      </c>
      <c r="E10" s="3" t="s">
        <v>9</v>
      </c>
      <c r="F10" s="3"/>
      <c r="G10" s="3"/>
      <c r="H10" s="3"/>
      <c r="I10" s="3"/>
      <c r="J10" s="3"/>
      <c r="K10" s="3"/>
    </row>
    <row r="11" spans="1:11">
      <c r="A11" s="3" t="s">
        <v>11</v>
      </c>
      <c r="B11" s="3"/>
      <c r="C11" s="3">
        <v>76.2</v>
      </c>
      <c r="D11" s="3" t="s">
        <v>10</v>
      </c>
      <c r="E11" s="3" t="s">
        <v>14</v>
      </c>
      <c r="F11" s="3"/>
      <c r="G11" s="3"/>
      <c r="H11" s="3"/>
      <c r="I11" s="3"/>
      <c r="J11" s="3"/>
      <c r="K11" s="3"/>
    </row>
    <row r="12" spans="1:11">
      <c r="A12" s="3" t="s">
        <v>15</v>
      </c>
      <c r="B12" s="3"/>
      <c r="C12" s="3">
        <v>50.8</v>
      </c>
      <c r="D12" s="3" t="s">
        <v>10</v>
      </c>
      <c r="E12" s="3" t="s">
        <v>16</v>
      </c>
      <c r="F12" s="3"/>
      <c r="G12" s="3"/>
      <c r="H12" s="3"/>
      <c r="I12" s="3"/>
      <c r="J12" s="3"/>
      <c r="K12" s="3"/>
    </row>
    <row r="13" spans="1:11">
      <c r="A13" s="3" t="s">
        <v>17</v>
      </c>
      <c r="B13" s="3"/>
      <c r="C13" s="3">
        <v>49.152000000000001</v>
      </c>
      <c r="D13" s="3" t="s">
        <v>10</v>
      </c>
      <c r="E13" s="3" t="s">
        <v>18</v>
      </c>
      <c r="F13" s="3"/>
      <c r="G13" s="3"/>
      <c r="H13" s="3"/>
      <c r="I13" s="3"/>
      <c r="J13" s="3"/>
      <c r="K13" s="3"/>
    </row>
    <row r="14" spans="1:11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1">
      <c r="A15" s="3" t="s">
        <v>19</v>
      </c>
      <c r="B15" s="3"/>
      <c r="C15" s="3">
        <f>2*$C$10*$K$7</f>
        <v>115.38</v>
      </c>
      <c r="D15" s="3" t="s">
        <v>10</v>
      </c>
      <c r="E15" s="3" t="s">
        <v>20</v>
      </c>
      <c r="F15" s="3"/>
      <c r="G15" s="3"/>
      <c r="H15" s="3"/>
      <c r="I15" s="3"/>
      <c r="J15" s="3"/>
      <c r="K15" s="3"/>
    </row>
    <row r="16" spans="1:11">
      <c r="A16" s="3" t="s">
        <v>21</v>
      </c>
      <c r="B16" s="3"/>
      <c r="C16" s="3">
        <f>$C$9/2/$C$8</f>
        <v>3.5714285714285719E-2</v>
      </c>
      <c r="D16" s="3">
        <v>3.5714285714285719E-2</v>
      </c>
      <c r="E16" s="3"/>
      <c r="F16" s="3"/>
      <c r="G16" s="3"/>
      <c r="H16" s="3"/>
      <c r="I16" s="3"/>
      <c r="J16" s="3"/>
      <c r="K16" s="3"/>
    </row>
    <row r="17" spans="1:13">
      <c r="A17" s="3" t="s">
        <v>31</v>
      </c>
      <c r="C17" s="3">
        <f>C15*C16</f>
        <v>4.1207142857142864</v>
      </c>
      <c r="D17">
        <v>4.1207142857142864</v>
      </c>
    </row>
    <row r="18" spans="1:13">
      <c r="A18" s="3"/>
      <c r="C18" s="3"/>
    </row>
    <row r="19" spans="1:13">
      <c r="A19">
        <v>11</v>
      </c>
      <c r="C19" t="s">
        <v>23</v>
      </c>
    </row>
    <row r="20" spans="1:13">
      <c r="A20" t="s">
        <v>24</v>
      </c>
      <c r="B20" t="s">
        <v>25</v>
      </c>
      <c r="C20" t="s">
        <v>26</v>
      </c>
      <c r="D20" t="s">
        <v>27</v>
      </c>
      <c r="E20" t="s">
        <v>28</v>
      </c>
      <c r="F20" t="s">
        <v>29</v>
      </c>
      <c r="K20" t="s">
        <v>38</v>
      </c>
    </row>
    <row r="21" spans="1:13">
      <c r="A21" s="4" t="s">
        <v>30</v>
      </c>
      <c r="B21" t="s">
        <v>30</v>
      </c>
      <c r="C21" t="s">
        <v>30</v>
      </c>
      <c r="D21" t="s">
        <v>30</v>
      </c>
      <c r="E21" t="s">
        <v>30</v>
      </c>
      <c r="F21" t="s">
        <v>30</v>
      </c>
    </row>
    <row r="22" spans="1:13">
      <c r="A22">
        <v>4.1207142857142864</v>
      </c>
      <c r="B22">
        <v>0</v>
      </c>
      <c r="C22">
        <v>0</v>
      </c>
      <c r="D22">
        <v>-3.5691530512412493E-2</v>
      </c>
      <c r="E22">
        <v>0</v>
      </c>
      <c r="F22">
        <v>0.99936285434754957</v>
      </c>
      <c r="J22">
        <v>4</v>
      </c>
      <c r="K22">
        <f>J22*57.69/17.2</f>
        <v>13.416279069767441</v>
      </c>
      <c r="L22" t="s">
        <v>10</v>
      </c>
      <c r="M22">
        <f>$C$15-K22</f>
        <v>101.96372093023255</v>
      </c>
    </row>
    <row r="23" spans="1:13">
      <c r="A23">
        <v>3.3714935064935072</v>
      </c>
      <c r="B23">
        <v>0</v>
      </c>
      <c r="C23">
        <v>0</v>
      </c>
      <c r="D23">
        <v>-2.9208312065350222E-2</v>
      </c>
      <c r="E23">
        <v>0</v>
      </c>
      <c r="F23">
        <v>0.99957334623642957</v>
      </c>
      <c r="J23">
        <v>2.5</v>
      </c>
      <c r="K23">
        <f t="shared" ref="K23:K25" si="0">J23*57.69/17.2</f>
        <v>8.3851744186046506</v>
      </c>
      <c r="L23" t="s">
        <v>10</v>
      </c>
      <c r="M23">
        <f t="shared" ref="M23:M25" si="1">$C$15-K23</f>
        <v>106.99482558139535</v>
      </c>
    </row>
    <row r="24" spans="1:13">
      <c r="A24">
        <v>2.622272727272728</v>
      </c>
      <c r="B24">
        <v>0</v>
      </c>
      <c r="C24">
        <v>0</v>
      </c>
      <c r="D24">
        <v>-2.2721405353294161E-2</v>
      </c>
      <c r="E24">
        <v>0</v>
      </c>
      <c r="F24">
        <v>0.99974183554494278</v>
      </c>
      <c r="J24">
        <v>1.5</v>
      </c>
      <c r="K24">
        <f t="shared" si="0"/>
        <v>5.0311046511627904</v>
      </c>
      <c r="L24" t="s">
        <v>10</v>
      </c>
      <c r="M24">
        <f t="shared" si="1"/>
        <v>110.3488953488372</v>
      </c>
    </row>
    <row r="25" spans="1:13">
      <c r="A25">
        <v>1.8730519480519483</v>
      </c>
      <c r="B25">
        <v>0</v>
      </c>
      <c r="C25">
        <v>0</v>
      </c>
      <c r="D25">
        <v>-1.6231627572325644E-2</v>
      </c>
      <c r="E25">
        <v>0</v>
      </c>
      <c r="F25">
        <v>0.9998682584552594</v>
      </c>
      <c r="J25">
        <v>0.5</v>
      </c>
      <c r="K25">
        <f t="shared" si="0"/>
        <v>1.6770348837209301</v>
      </c>
      <c r="L25" t="s">
        <v>10</v>
      </c>
      <c r="M25">
        <f t="shared" si="1"/>
        <v>113.70296511627906</v>
      </c>
    </row>
    <row r="26" spans="1:13">
      <c r="A26">
        <v>1.1238311688311691</v>
      </c>
      <c r="B26">
        <v>0</v>
      </c>
      <c r="C26">
        <v>0</v>
      </c>
      <c r="D26">
        <v>-9.7397977309591332E-3</v>
      </c>
      <c r="E26">
        <v>0</v>
      </c>
      <c r="F26">
        <v>0.99995256704513735</v>
      </c>
    </row>
    <row r="27" spans="1:13">
      <c r="A27">
        <v>0.37461038961038984</v>
      </c>
      <c r="B27">
        <v>0</v>
      </c>
      <c r="C27">
        <v>0</v>
      </c>
      <c r="D27">
        <v>-3.2467361342154162E-3</v>
      </c>
      <c r="E27">
        <v>0</v>
      </c>
      <c r="F27">
        <v>0.99999472933834754</v>
      </c>
    </row>
    <row r="28" spans="1:13">
      <c r="A28">
        <v>-0.37461038961038984</v>
      </c>
      <c r="B28">
        <v>0</v>
      </c>
      <c r="C28">
        <v>0</v>
      </c>
      <c r="D28">
        <v>3.2467361342154162E-3</v>
      </c>
      <c r="E28">
        <v>0</v>
      </c>
      <c r="F28">
        <v>0.99999472933834754</v>
      </c>
    </row>
    <row r="29" spans="1:13">
      <c r="A29">
        <v>-1.1238311688311686</v>
      </c>
      <c r="B29">
        <v>0</v>
      </c>
      <c r="C29">
        <v>0</v>
      </c>
      <c r="D29">
        <v>9.7397977309591297E-3</v>
      </c>
      <c r="E29">
        <v>0</v>
      </c>
      <c r="F29">
        <v>0.99995256704513735</v>
      </c>
    </row>
    <row r="30" spans="1:13">
      <c r="A30">
        <v>-1.8730519480519483</v>
      </c>
      <c r="B30">
        <v>0</v>
      </c>
      <c r="C30">
        <v>0</v>
      </c>
      <c r="D30">
        <v>1.6231627572325644E-2</v>
      </c>
      <c r="E30">
        <v>0</v>
      </c>
      <c r="F30">
        <v>0.9998682584552594</v>
      </c>
    </row>
    <row r="31" spans="1:13">
      <c r="A31">
        <v>-2.622272727272728</v>
      </c>
      <c r="B31">
        <v>0</v>
      </c>
      <c r="C31">
        <v>0</v>
      </c>
      <c r="D31">
        <v>2.2721405353294161E-2</v>
      </c>
      <c r="E31">
        <v>0</v>
      </c>
      <c r="F31">
        <v>0.99974183554494278</v>
      </c>
    </row>
    <row r="32" spans="1:13">
      <c r="A32">
        <v>-3.3714935064935068</v>
      </c>
      <c r="B32">
        <v>0</v>
      </c>
      <c r="C32">
        <v>0</v>
      </c>
      <c r="D32">
        <v>2.9208312065350218E-2</v>
      </c>
      <c r="E32">
        <v>0</v>
      </c>
      <c r="F32">
        <v>0.99957334623642957</v>
      </c>
    </row>
    <row r="36" spans="1:6">
      <c r="A36">
        <v>11</v>
      </c>
      <c r="C36" t="s">
        <v>23</v>
      </c>
    </row>
    <row r="37" spans="1:6">
      <c r="A37" t="s">
        <v>24</v>
      </c>
      <c r="B37" t="s">
        <v>25</v>
      </c>
      <c r="C37" t="s">
        <v>26</v>
      </c>
      <c r="D37" t="s">
        <v>27</v>
      </c>
      <c r="E37" t="s">
        <v>28</v>
      </c>
      <c r="F37" t="s">
        <v>29</v>
      </c>
    </row>
    <row r="38" spans="1:6">
      <c r="A38" t="s">
        <v>32</v>
      </c>
      <c r="B38" t="s">
        <v>32</v>
      </c>
      <c r="C38" t="s">
        <v>32</v>
      </c>
      <c r="D38" t="s">
        <v>32</v>
      </c>
      <c r="E38" t="s">
        <v>32</v>
      </c>
      <c r="F38" t="s">
        <v>32</v>
      </c>
    </row>
    <row r="39" spans="1:6">
      <c r="A39">
        <v>0</v>
      </c>
      <c r="B39">
        <v>4.1207142857142864</v>
      </c>
      <c r="C39">
        <v>0</v>
      </c>
      <c r="D39">
        <v>0</v>
      </c>
      <c r="E39">
        <v>-3.5691530512412493E-2</v>
      </c>
      <c r="F39">
        <v>0.99936285434754957</v>
      </c>
    </row>
    <row r="40" spans="1:6">
      <c r="A40">
        <v>0</v>
      </c>
      <c r="B40">
        <v>3.3714935064935072</v>
      </c>
      <c r="C40">
        <v>0</v>
      </c>
      <c r="D40">
        <v>0</v>
      </c>
      <c r="E40">
        <v>-2.9208312065350222E-2</v>
      </c>
      <c r="F40">
        <v>0.99957334623642957</v>
      </c>
    </row>
    <row r="41" spans="1:6">
      <c r="A41">
        <v>0</v>
      </c>
      <c r="B41">
        <v>2.622272727272728</v>
      </c>
      <c r="C41">
        <v>0</v>
      </c>
      <c r="D41">
        <v>0</v>
      </c>
      <c r="E41">
        <v>-2.2721405353294161E-2</v>
      </c>
      <c r="F41">
        <v>0.99974183554494278</v>
      </c>
    </row>
    <row r="42" spans="1:6">
      <c r="A42">
        <v>0</v>
      </c>
      <c r="B42">
        <v>1.8730519480519483</v>
      </c>
      <c r="C42">
        <v>0</v>
      </c>
      <c r="D42">
        <v>0</v>
      </c>
      <c r="E42">
        <v>-1.6231627572325644E-2</v>
      </c>
      <c r="F42">
        <v>0.9998682584552594</v>
      </c>
    </row>
    <row r="43" spans="1:6">
      <c r="A43">
        <v>0</v>
      </c>
      <c r="B43">
        <v>1.1238311688311691</v>
      </c>
      <c r="C43">
        <v>0</v>
      </c>
      <c r="D43">
        <v>0</v>
      </c>
      <c r="E43">
        <v>-9.7397977309591332E-3</v>
      </c>
      <c r="F43">
        <v>0.99995256704513735</v>
      </c>
    </row>
    <row r="44" spans="1:6">
      <c r="A44">
        <v>0</v>
      </c>
      <c r="B44">
        <v>0.37461038961038984</v>
      </c>
      <c r="C44">
        <v>0</v>
      </c>
      <c r="D44">
        <v>0</v>
      </c>
      <c r="E44">
        <v>-3.2467361342154162E-3</v>
      </c>
      <c r="F44">
        <v>0.99999472933834754</v>
      </c>
    </row>
    <row r="45" spans="1:6">
      <c r="A45">
        <v>0</v>
      </c>
      <c r="B45">
        <v>-0.37461038961038984</v>
      </c>
      <c r="C45">
        <v>0</v>
      </c>
      <c r="D45">
        <v>0</v>
      </c>
      <c r="E45">
        <v>3.2467361342154162E-3</v>
      </c>
      <c r="F45">
        <v>0.99999472933834754</v>
      </c>
    </row>
    <row r="46" spans="1:6">
      <c r="A46">
        <v>0</v>
      </c>
      <c r="B46">
        <v>-1.1238311688311686</v>
      </c>
      <c r="C46">
        <v>0</v>
      </c>
      <c r="D46">
        <v>0</v>
      </c>
      <c r="E46">
        <v>9.7397977309591297E-3</v>
      </c>
      <c r="F46">
        <v>0.99995256704513735</v>
      </c>
    </row>
    <row r="47" spans="1:6">
      <c r="A47">
        <v>0</v>
      </c>
      <c r="B47">
        <v>-1.8730519480519483</v>
      </c>
      <c r="C47">
        <v>0</v>
      </c>
      <c r="D47">
        <v>0</v>
      </c>
      <c r="E47">
        <v>1.6231627572325644E-2</v>
      </c>
      <c r="F47">
        <v>0.9998682584552594</v>
      </c>
    </row>
    <row r="48" spans="1:6">
      <c r="A48">
        <v>0</v>
      </c>
      <c r="B48">
        <v>-2.622272727272728</v>
      </c>
      <c r="C48">
        <v>0</v>
      </c>
      <c r="D48">
        <v>0</v>
      </c>
      <c r="E48">
        <v>2.2721405353294161E-2</v>
      </c>
      <c r="F48">
        <v>0.99974183554494278</v>
      </c>
    </row>
    <row r="49" spans="1:6">
      <c r="A49">
        <v>0</v>
      </c>
      <c r="B49">
        <v>-3.3714935064935068</v>
      </c>
      <c r="C49">
        <v>0</v>
      </c>
      <c r="D49">
        <v>3.5714285714285719E-2</v>
      </c>
      <c r="E49">
        <v>2.9208312065350218E-2</v>
      </c>
      <c r="F49">
        <v>0.99957334623642957</v>
      </c>
    </row>
    <row r="50" spans="1:6">
      <c r="D50">
        <v>4.1207142857142864</v>
      </c>
    </row>
    <row r="52" spans="1:6">
      <c r="A52">
        <v>121</v>
      </c>
      <c r="C52" t="s">
        <v>23</v>
      </c>
    </row>
    <row r="53" spans="1:6">
      <c r="A53" t="s">
        <v>24</v>
      </c>
      <c r="B53" t="s">
        <v>25</v>
      </c>
      <c r="C53" t="s">
        <v>26</v>
      </c>
      <c r="D53" t="s">
        <v>27</v>
      </c>
      <c r="E53" t="s">
        <v>28</v>
      </c>
      <c r="F53" t="s">
        <v>29</v>
      </c>
    </row>
    <row r="54" spans="1:6">
      <c r="A54" t="s">
        <v>30</v>
      </c>
      <c r="B54" t="s">
        <v>30</v>
      </c>
      <c r="C54" t="s">
        <v>30</v>
      </c>
      <c r="D54" t="s">
        <v>30</v>
      </c>
      <c r="E54" t="s">
        <v>30</v>
      </c>
      <c r="F54" t="s">
        <v>30</v>
      </c>
    </row>
    <row r="62" spans="1:6">
      <c r="A62">
        <v>-3.3714935064935068</v>
      </c>
      <c r="B62">
        <v>-3.3714935064935068</v>
      </c>
      <c r="C62">
        <v>0</v>
      </c>
      <c r="D62">
        <v>2.9195860853793023E-2</v>
      </c>
      <c r="E62">
        <v>2.9195860853793023E-2</v>
      </c>
      <c r="F62">
        <v>0.99914723810758344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>LAL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Dagoret-Campagne Sylvie</dc:creator>
  <cp:lastModifiedBy>Dagoret-Campagne Sylvie</cp:lastModifiedBy>
  <dcterms:created xsi:type="dcterms:W3CDTF">2017-02-07T16:57:31Z</dcterms:created>
  <dcterms:modified xsi:type="dcterms:W3CDTF">2017-02-09T12:33:17Z</dcterms:modified>
</cp:coreProperties>
</file>